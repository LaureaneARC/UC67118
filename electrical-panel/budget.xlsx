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çamento QE" sheetId="1" state="visible" r:id="rId1"/>
  </sheets>
  <definedNames>
    <definedName name="_xlnm.Print_Titles" localSheetId="0">'Orçamento QE'!$5:$5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AACC"/>
      <sz val="10"/>
    </font>
    <font>
      <name val="Arial"/>
      <b val="1"/>
      <color rgb="00FFFFFF"/>
      <sz val="10"/>
    </font>
    <font>
      <name val="Arial"/>
      <b val="1"/>
      <color rgb="000F3460"/>
      <sz val="10"/>
    </font>
    <font>
      <name val="Arial"/>
      <color rgb="00000000"/>
      <sz val="10"/>
    </font>
    <font>
      <name val="Arial"/>
      <color rgb="00555555"/>
      <sz val="9"/>
    </font>
    <font>
      <name val="Arial"/>
      <color rgb="000000BB"/>
      <sz val="10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333333"/>
      <sz val="10"/>
    </font>
    <font>
      <name val="Arial"/>
      <b val="1"/>
      <color rgb="00FFFFFF"/>
      <sz val="13"/>
    </font>
    <font>
      <name val="Arial"/>
      <b val="1"/>
      <color rgb="00FFFFFF"/>
      <sz val="14"/>
    </font>
    <font>
      <name val="Arial"/>
      <i val="1"/>
      <color rgb="00444444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EEEEEE"/>
      </patternFill>
    </fill>
    <fill>
      <patternFill patternType="solid">
        <fgColor rgb="00F8F9FA"/>
      </patternFill>
    </fill>
    <fill>
      <patternFill patternType="solid">
        <fgColor rgb="00FFFDF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A1A2E"/>
      </left>
      <right style="medium">
        <color rgb="001A1A2E"/>
      </right>
      <top style="medium">
        <color rgb="001A1A2E"/>
      </top>
      <bottom style="medium">
        <color rgb="001A1A2E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0" fontId="0" fillId="7" borderId="0" pivotButton="0" quotePrefix="0" xfId="0"/>
    <xf numFmtId="0" fontId="9" fillId="4" borderId="2" applyAlignment="1" pivotButton="0" quotePrefix="0" xfId="0">
      <alignment horizontal="right" vertical="center"/>
    </xf>
    <xf numFmtId="164" fontId="10" fillId="4" borderId="2" applyAlignment="1" pivotButton="0" quotePrefix="0" xfId="0">
      <alignment horizontal="right" vertical="center"/>
    </xf>
    <xf numFmtId="0" fontId="0" fillId="4" borderId="1" pivotButton="0" quotePrefix="0" xfId="0"/>
    <xf numFmtId="0" fontId="11" fillId="8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12" fillId="2" borderId="2" applyAlignment="1" pivotButton="0" quotePrefix="0" xfId="0">
      <alignment horizontal="right" vertical="center"/>
    </xf>
    <xf numFmtId="164" fontId="13" fillId="2" borderId="2" applyAlignment="1" pivotButton="0" quotePrefix="0" xfId="0">
      <alignment horizontal="right" vertical="center"/>
    </xf>
    <xf numFmtId="0" fontId="0" fillId="2" borderId="1" pivotButton="0" quotePrefix="0" xfId="0"/>
    <xf numFmtId="0" fontId="3" fillId="3" borderId="0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I41"/>
  <sheetViews>
    <sheetView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4" customWidth="1" min="4" max="4"/>
    <col width="10" customWidth="1" min="5" max="5"/>
    <col width="10" customWidth="1" min="6" max="6"/>
    <col width="14" customWidth="1" min="7" max="7"/>
    <col width="14" customWidth="1" min="8" max="8"/>
    <col width="22" customWidth="1" min="9" max="9"/>
  </cols>
  <sheetData>
    <row r="1" ht="14" customHeight="1"/>
    <row r="2" ht="40" customHeight="1">
      <c r="A2" s="1" t="inlineStr">
        <is>
          <t>TABELA DE ORÇAMENTO — QUADRO ELÉTRICO</t>
        </is>
      </c>
    </row>
    <row r="3" ht="16" customHeight="1">
      <c r="A3" s="2" t="inlineStr">
        <is>
          <t>230V Monofásico · Disjuntor · Fusível · Contactor 230V · Relay Module 2CH · Motor</t>
        </is>
      </c>
    </row>
    <row r="4" ht="14" customHeight="1">
      <c r="A4" s="3" t="n"/>
    </row>
    <row r="5" ht="22" customHeight="1">
      <c r="A5" s="4" t="inlineStr">
        <is>
          <t>#</t>
        </is>
      </c>
      <c r="B5" s="4" t="inlineStr">
        <is>
          <t>Descrição do Componente</t>
        </is>
      </c>
      <c r="C5" s="4" t="inlineStr">
        <is>
          <t>Referência / Modelo</t>
        </is>
      </c>
      <c r="D5" s="4" t="inlineStr">
        <is>
          <t>Fornecedor</t>
        </is>
      </c>
      <c r="E5" s="4" t="inlineStr">
        <is>
          <t>Qtd.</t>
        </is>
      </c>
      <c r="F5" s="4" t="inlineStr">
        <is>
          <t>Un.</t>
        </is>
      </c>
      <c r="G5" s="4" t="inlineStr">
        <is>
          <t>Preço Unit. (€)</t>
        </is>
      </c>
      <c r="H5" s="4" t="inlineStr">
        <is>
          <t>Total (€)</t>
        </is>
      </c>
      <c r="I5" s="4" t="inlineStr">
        <is>
          <t>Notas / Especificações</t>
        </is>
      </c>
    </row>
    <row r="6" ht="18" customHeight="1">
      <c r="A6" s="5" t="inlineStr">
        <is>
          <t xml:space="preserve">  PROTEÇÃO</t>
        </is>
      </c>
    </row>
    <row r="7" ht="20" customHeight="1">
      <c r="A7" s="6" t="n">
        <v>1</v>
      </c>
      <c r="B7" s="7" t="inlineStr">
        <is>
          <t>Disjuntor magnetotérmico 1P+N</t>
        </is>
      </c>
      <c r="C7" s="8" t="inlineStr">
        <is>
          <t>Schneider iC60N-C10 / ABB SH201</t>
        </is>
      </c>
      <c r="D7" s="8" t="inlineStr">
        <is>
          <t>ElectricalPT / RS Components</t>
        </is>
      </c>
      <c r="E7" s="9" t="n">
        <v>1</v>
      </c>
      <c r="F7" s="9" t="inlineStr">
        <is>
          <t>un.</t>
        </is>
      </c>
      <c r="G7" s="10" t="n">
        <v>18.5</v>
      </c>
      <c r="H7" s="11">
        <f>E7*G7</f>
        <v/>
      </c>
      <c r="I7" s="8" t="inlineStr">
        <is>
          <t>10A Curva C · 230V AC · 6kA</t>
        </is>
      </c>
    </row>
    <row r="8" ht="20" customHeight="1">
      <c r="A8" s="12" t="n">
        <v>2</v>
      </c>
      <c r="B8" s="13" t="inlineStr">
        <is>
          <t>Fusível cilíndrico gG</t>
        </is>
      </c>
      <c r="C8" s="14" t="inlineStr">
        <is>
          <t>Legrand 014116 / Siemens 3NW</t>
        </is>
      </c>
      <c r="D8" s="14" t="inlineStr">
        <is>
          <t>Rexel / Conrad</t>
        </is>
      </c>
      <c r="E8" s="15" t="n">
        <v>1</v>
      </c>
      <c r="F8" s="15" t="inlineStr">
        <is>
          <t>un.</t>
        </is>
      </c>
      <c r="G8" s="16" t="n">
        <v>2.8</v>
      </c>
      <c r="H8" s="17">
        <f>E8*G8</f>
        <v/>
      </c>
      <c r="I8" s="14" t="inlineStr">
        <is>
          <t>6A · gG · 10x38mm · 500V</t>
        </is>
      </c>
    </row>
    <row r="9" ht="20" customHeight="1">
      <c r="A9" s="6" t="n">
        <v>3</v>
      </c>
      <c r="B9" s="7" t="inlineStr">
        <is>
          <t>Base porta-fusível 10x38</t>
        </is>
      </c>
      <c r="C9" s="8" t="inlineStr">
        <is>
          <t>Legrand 014167 / Schneider</t>
        </is>
      </c>
      <c r="D9" s="8" t="inlineStr">
        <is>
          <t>Rexel / ElectricalPT</t>
        </is>
      </c>
      <c r="E9" s="9" t="n">
        <v>1</v>
      </c>
      <c r="F9" s="9" t="inlineStr">
        <is>
          <t>un.</t>
        </is>
      </c>
      <c r="G9" s="10" t="n">
        <v>4.2</v>
      </c>
      <c r="H9" s="11">
        <f>E9*G9</f>
        <v/>
      </c>
      <c r="I9" s="8" t="inlineStr">
        <is>
          <t>Para fusível 10x38 · DIN rail</t>
        </is>
      </c>
    </row>
    <row r="10" ht="18" customHeight="1">
      <c r="A10" s="5" t="inlineStr">
        <is>
          <t xml:space="preserve">  CONTACTOR</t>
        </is>
      </c>
    </row>
    <row r="11" ht="20" customHeight="1">
      <c r="A11" s="6" t="n">
        <v>4</v>
      </c>
      <c r="B11" s="7" t="inlineStr">
        <is>
          <t>Contactor monofásico 230V AC</t>
        </is>
      </c>
      <c r="C11" s="8" t="inlineStr">
        <is>
          <t>Schneider LC1K0910M7 / ABB B7-30-10</t>
        </is>
      </c>
      <c r="D11" s="8" t="inlineStr">
        <is>
          <t>ElectricalPT / Farnell</t>
        </is>
      </c>
      <c r="E11" s="9" t="n">
        <v>1</v>
      </c>
      <c r="F11" s="9" t="inlineStr">
        <is>
          <t>un.</t>
        </is>
      </c>
      <c r="G11" s="10" t="n">
        <v>32</v>
      </c>
      <c r="H11" s="11">
        <f>E11*G11</f>
        <v/>
      </c>
      <c r="I11" s="8" t="inlineStr">
        <is>
          <t>Bobine 230V AC · 9A · 1NO+1NC aux.</t>
        </is>
      </c>
    </row>
    <row r="12" ht="18" customHeight="1">
      <c r="A12" s="5" t="inlineStr">
        <is>
          <t xml:space="preserve">  RELAY MODULE</t>
        </is>
      </c>
    </row>
    <row r="13" ht="20" customHeight="1">
      <c r="A13" s="6" t="n">
        <v>5</v>
      </c>
      <c r="B13" s="7" t="inlineStr">
        <is>
          <t>Relay Module 2 canais 5V (Arduino)</t>
        </is>
      </c>
      <c r="C13" s="8" t="inlineStr">
        <is>
          <t>SunFounder 2CH Relay / HiLetgo</t>
        </is>
      </c>
      <c r="D13" s="8" t="inlineStr">
        <is>
          <t>Amazon PT / AliExpress</t>
        </is>
      </c>
      <c r="E13" s="9" t="n">
        <v>1</v>
      </c>
      <c r="F13" s="9" t="inlineStr">
        <is>
          <t>un.</t>
        </is>
      </c>
      <c r="G13" s="10" t="n">
        <v>4.5</v>
      </c>
      <c r="H13" s="11">
        <f>E13*G13</f>
        <v/>
      </c>
      <c r="I13" s="8" t="inlineStr">
        <is>
          <t>5V DC · IN1/IN2 · COM/NO/NC · optocoupler · 10A/250VAC</t>
        </is>
      </c>
    </row>
    <row r="14" ht="18" customHeight="1">
      <c r="A14" s="5" t="inlineStr">
        <is>
          <t xml:space="preserve">  CABLAGEM E ACESSÓRIOS</t>
        </is>
      </c>
    </row>
    <row r="15" ht="20" customHeight="1">
      <c r="A15" s="6" t="n">
        <v>6</v>
      </c>
      <c r="B15" s="7" t="inlineStr">
        <is>
          <t>Cabo H07V-U 2,5mm² (fase/neutro)</t>
        </is>
      </c>
      <c r="C15" s="8" t="inlineStr">
        <is>
          <t>H07V-U 2,5mm² Vermelho</t>
        </is>
      </c>
      <c r="D15" s="8" t="inlineStr">
        <is>
          <t>Leroy Merlin / ElectricalPT</t>
        </is>
      </c>
      <c r="E15" s="9" t="n">
        <v>3</v>
      </c>
      <c r="F15" s="9" t="inlineStr">
        <is>
          <t>m</t>
        </is>
      </c>
      <c r="G15" s="10" t="n">
        <v>1.2</v>
      </c>
      <c r="H15" s="11">
        <f>E15*G15</f>
        <v/>
      </c>
      <c r="I15" s="8" t="inlineStr">
        <is>
          <t>Rígido · 450/750V · fase L · cor vermelho</t>
        </is>
      </c>
    </row>
    <row r="16" ht="20" customHeight="1">
      <c r="A16" s="12" t="n">
        <v>7</v>
      </c>
      <c r="B16" s="13" t="inlineStr">
        <is>
          <t>Cabo H07V-U 2,5mm² (neutro)</t>
        </is>
      </c>
      <c r="C16" s="14" t="inlineStr">
        <is>
          <t>H07V-U 2,5mm² Azul</t>
        </is>
      </c>
      <c r="D16" s="14" t="inlineStr">
        <is>
          <t>Leroy Merlin / ElectricalPT</t>
        </is>
      </c>
      <c r="E16" s="15" t="n">
        <v>3</v>
      </c>
      <c r="F16" s="15" t="inlineStr">
        <is>
          <t>m</t>
        </is>
      </c>
      <c r="G16" s="16" t="n">
        <v>1.2</v>
      </c>
      <c r="H16" s="17">
        <f>E16*G16</f>
        <v/>
      </c>
      <c r="I16" s="14" t="inlineStr">
        <is>
          <t>Rígido · 450/750V · neutro N · cor azul</t>
        </is>
      </c>
    </row>
    <row r="17" ht="20" customHeight="1">
      <c r="A17" s="6" t="n">
        <v>8</v>
      </c>
      <c r="B17" s="7" t="inlineStr">
        <is>
          <t>Cabo H07V-U 2,5mm² (terra PE)</t>
        </is>
      </c>
      <c r="C17" s="8" t="inlineStr">
        <is>
          <t>H07V-U 2,5mm² Verde/Amarelo</t>
        </is>
      </c>
      <c r="D17" s="8" t="inlineStr">
        <is>
          <t>Leroy Merlin / ElectricalPT</t>
        </is>
      </c>
      <c r="E17" s="9" t="n">
        <v>2</v>
      </c>
      <c r="F17" s="9" t="inlineStr">
        <is>
          <t>m</t>
        </is>
      </c>
      <c r="G17" s="10" t="n">
        <v>1.2</v>
      </c>
      <c r="H17" s="11">
        <f>E17*G17</f>
        <v/>
      </c>
      <c r="I17" s="8" t="inlineStr">
        <is>
          <t>Rígido · 450/750V · proteção PE · cor verde/amarelo</t>
        </is>
      </c>
    </row>
    <row r="18" ht="20" customHeight="1">
      <c r="A18" s="12" t="n">
        <v>9</v>
      </c>
      <c r="B18" s="13" t="inlineStr">
        <is>
          <t>Cabo H05V-K 0,75mm² (controlo/bobine)</t>
        </is>
      </c>
      <c r="C18" s="14" t="inlineStr">
        <is>
          <t>H05V-K 0,75mm² Laranja</t>
        </is>
      </c>
      <c r="D18" s="14" t="inlineStr">
        <is>
          <t>RS Components / Conrad</t>
        </is>
      </c>
      <c r="E18" s="15" t="n">
        <v>2</v>
      </c>
      <c r="F18" s="15" t="inlineStr">
        <is>
          <t>m</t>
        </is>
      </c>
      <c r="G18" s="16" t="n">
        <v>0.6</v>
      </c>
      <c r="H18" s="17">
        <f>E18*G18</f>
        <v/>
      </c>
      <c r="I18" s="14" t="inlineStr">
        <is>
          <t>Flexível · 300/500V · circuito de comando</t>
        </is>
      </c>
    </row>
    <row r="19" ht="20" customHeight="1">
      <c r="A19" s="6" t="n">
        <v>10</v>
      </c>
      <c r="B19" s="7" t="inlineStr">
        <is>
          <t>Terminal de ligação em quadro</t>
        </is>
      </c>
      <c r="C19" s="8" t="inlineStr">
        <is>
          <t>Phoenix Contact PT 2,5 / Wago 2601</t>
        </is>
      </c>
      <c r="D19" s="8" t="inlineStr">
        <is>
          <t>Farnell / Mouser</t>
        </is>
      </c>
      <c r="E19" s="9" t="n">
        <v>10</v>
      </c>
      <c r="F19" s="9" t="inlineStr">
        <is>
          <t>un.</t>
        </is>
      </c>
      <c r="G19" s="10" t="n">
        <v>0.85</v>
      </c>
      <c r="H19" s="11">
        <f>E19*G19</f>
        <v/>
      </c>
      <c r="I19" s="8" t="inlineStr">
        <is>
          <t>2,5mm² · DIN rail · passante</t>
        </is>
      </c>
    </row>
    <row r="20" ht="20" customHeight="1">
      <c r="A20" s="12" t="n">
        <v>11</v>
      </c>
      <c r="B20" s="13" t="inlineStr">
        <is>
          <t>Calha DIN 35mm (omega)</t>
        </is>
      </c>
      <c r="C20" s="14" t="inlineStr">
        <is>
          <t>DIN EN 50022 · 35x7,5mm</t>
        </is>
      </c>
      <c r="D20" s="14" t="inlineStr">
        <is>
          <t>Leroy Merlin / RS Components</t>
        </is>
      </c>
      <c r="E20" s="15" t="n">
        <v>0.5</v>
      </c>
      <c r="F20" s="15" t="inlineStr">
        <is>
          <t>m</t>
        </is>
      </c>
      <c r="G20" s="16" t="n">
        <v>3.5</v>
      </c>
      <c r="H20" s="17">
        <f>E20*G20</f>
        <v/>
      </c>
      <c r="I20" s="14" t="inlineStr">
        <is>
          <t>Aço galvanizado · para fixação componentes</t>
        </is>
      </c>
    </row>
    <row r="21" ht="20" customHeight="1">
      <c r="A21" s="6" t="n">
        <v>12</v>
      </c>
      <c r="B21" s="7" t="inlineStr">
        <is>
          <t>Canaleta plástica 25x25mm</t>
        </is>
      </c>
      <c r="C21" s="8" t="inlineStr">
        <is>
          <t>Hager KL425 / Legrand</t>
        </is>
      </c>
      <c r="D21" s="8" t="inlineStr">
        <is>
          <t>Rexel / ElectricalPT</t>
        </is>
      </c>
      <c r="E21" s="9" t="n">
        <v>1</v>
      </c>
      <c r="F21" s="9" t="inlineStr">
        <is>
          <t>m</t>
        </is>
      </c>
      <c r="G21" s="10" t="n">
        <v>2.8</v>
      </c>
      <c r="H21" s="11">
        <f>E21*G21</f>
        <v/>
      </c>
      <c r="I21" s="8" t="inlineStr">
        <is>
          <t>Tampa destacável · para organização de cabos</t>
        </is>
      </c>
    </row>
    <row r="22" ht="18" customHeight="1">
      <c r="A22" s="5" t="inlineStr">
        <is>
          <t xml:space="preserve">  MOTOR</t>
        </is>
      </c>
    </row>
    <row r="23" ht="20" customHeight="1">
      <c r="A23" s="6" t="n">
        <v>13</v>
      </c>
      <c r="B23" s="7" t="inlineStr">
        <is>
          <t>Motor monofásico 230V AC</t>
        </is>
      </c>
      <c r="C23" s="8" t="inlineStr">
        <is>
          <t>WEG W21 0,37kW / Leroy Somer</t>
        </is>
      </c>
      <c r="D23" s="8" t="inlineStr">
        <is>
          <t>Motores Silva / RS Components</t>
        </is>
      </c>
      <c r="E23" s="9" t="n">
        <v>1</v>
      </c>
      <c r="F23" s="9" t="inlineStr">
        <is>
          <t>un.</t>
        </is>
      </c>
      <c r="G23" s="10" t="n">
        <v>85</v>
      </c>
      <c r="H23" s="11">
        <f>E23*G23</f>
        <v/>
      </c>
      <c r="I23" s="8" t="inlineStr">
        <is>
          <t>0,37kW · 230V AC · 1400rpm · B3 · IE2</t>
        </is>
      </c>
    </row>
    <row r="24" ht="18" customHeight="1">
      <c r="A24" s="5" t="inlineStr">
        <is>
          <t xml:space="preserve">  CAIXA E ESTRUTURA</t>
        </is>
      </c>
    </row>
    <row r="25" ht="20" customHeight="1">
      <c r="A25" s="6" t="n">
        <v>14</v>
      </c>
      <c r="B25" s="7" t="inlineStr">
        <is>
          <t>Quadro em plástico IP65</t>
        </is>
      </c>
      <c r="C25" s="8" t="inlineStr">
        <is>
          <t>Legrand Atlantic 036174 / ABB</t>
        </is>
      </c>
      <c r="D25" s="8" t="inlineStr">
        <is>
          <t>ElectricalPT / Leroy Merlin</t>
        </is>
      </c>
      <c r="E25" s="9" t="n">
        <v>1</v>
      </c>
      <c r="F25" s="9" t="inlineStr">
        <is>
          <t>un.</t>
        </is>
      </c>
      <c r="G25" s="10" t="n">
        <v>22</v>
      </c>
      <c r="H25" s="11">
        <f>E25*G25</f>
        <v/>
      </c>
      <c r="I25" s="8" t="inlineStr">
        <is>
          <t>IP65 · 300x200x130mm · c/ placa montagem</t>
        </is>
      </c>
    </row>
    <row r="26" ht="20" customHeight="1">
      <c r="A26" s="12" t="n">
        <v>15</v>
      </c>
      <c r="B26" s="13" t="inlineStr">
        <is>
          <t>Bucha passacabo PG16</t>
        </is>
      </c>
      <c r="C26" s="14" t="inlineStr">
        <is>
          <t>Lapp Skintop MS-M PG16</t>
        </is>
      </c>
      <c r="D26" s="14" t="inlineStr">
        <is>
          <t>RS Components / Farnell</t>
        </is>
      </c>
      <c r="E26" s="15" t="n">
        <v>4</v>
      </c>
      <c r="F26" s="15" t="inlineStr">
        <is>
          <t>un.</t>
        </is>
      </c>
      <c r="G26" s="16" t="n">
        <v>0.9</v>
      </c>
      <c r="H26" s="17">
        <f>E26*G26</f>
        <v/>
      </c>
      <c r="I26" s="14" t="inlineStr">
        <is>
          <t>Para cabo ø10-14mm · IP68</t>
        </is>
      </c>
    </row>
    <row r="27" ht="18" customHeight="1">
      <c r="A27" s="5" t="inlineStr">
        <is>
          <t xml:space="preserve">  CONSUMÍVEIS E OUTROS</t>
        </is>
      </c>
    </row>
    <row r="28" ht="20" customHeight="1">
      <c r="A28" s="12" t="n">
        <v>16</v>
      </c>
      <c r="B28" s="13" t="inlineStr">
        <is>
          <t>Braçadeira plástica 100mm</t>
        </is>
      </c>
      <c r="C28" s="14" t="inlineStr">
        <is>
          <t>Panduit PLT1M-C / genérico</t>
        </is>
      </c>
      <c r="D28" s="14" t="inlineStr">
        <is>
          <t>Leroy Merlin / AliExpress</t>
        </is>
      </c>
      <c r="E28" s="15" t="n">
        <v>20</v>
      </c>
      <c r="F28" s="15" t="inlineStr">
        <is>
          <t>un.</t>
        </is>
      </c>
      <c r="G28" s="16" t="n">
        <v>0.05</v>
      </c>
      <c r="H28" s="17">
        <f>E28*G28</f>
        <v/>
      </c>
      <c r="I28" s="14" t="inlineStr">
        <is>
          <t>Para fixação de feixes de cabos</t>
        </is>
      </c>
    </row>
    <row r="29" ht="20" customHeight="1">
      <c r="A29" s="6" t="n">
        <v>17</v>
      </c>
      <c r="B29" s="7" t="inlineStr">
        <is>
          <t>Fita isoladora preta</t>
        </is>
      </c>
      <c r="C29" s="8" t="inlineStr">
        <is>
          <t>3M Scotch Super 33+</t>
        </is>
      </c>
      <c r="D29" s="8" t="inlineStr">
        <is>
          <t>Leroy Merlin</t>
        </is>
      </c>
      <c r="E29" s="9" t="n">
        <v>1</v>
      </c>
      <c r="F29" s="9" t="inlineStr">
        <is>
          <t>rl.</t>
        </is>
      </c>
      <c r="G29" s="10" t="n">
        <v>3.2</v>
      </c>
      <c r="H29" s="11">
        <f>E29*G29</f>
        <v/>
      </c>
      <c r="I29" s="8" t="inlineStr">
        <is>
          <t>Rolo 10m · 0,13mm espessura</t>
        </is>
      </c>
    </row>
    <row r="30" ht="20" customHeight="1">
      <c r="A30" s="12" t="n">
        <v>18</v>
      </c>
      <c r="B30" s="13" t="inlineStr">
        <is>
          <t>Etiquetas identificação cabos</t>
        </is>
      </c>
      <c r="C30" s="14" t="inlineStr">
        <is>
          <t>Brady M21-375-499 / Panduit</t>
        </is>
      </c>
      <c r="D30" s="14" t="inlineStr">
        <is>
          <t>RS Components</t>
        </is>
      </c>
      <c r="E30" s="15" t="n">
        <v>1</v>
      </c>
      <c r="F30" s="15" t="inlineStr">
        <is>
          <t>kt.</t>
        </is>
      </c>
      <c r="G30" s="16" t="n">
        <v>8.5</v>
      </c>
      <c r="H30" s="17">
        <f>E30*G30</f>
        <v/>
      </c>
      <c r="I30" s="14" t="inlineStr">
        <is>
          <t>Kit etiquetas autocolantes para cabos</t>
        </is>
      </c>
    </row>
    <row r="31" ht="6" customHeight="1">
      <c r="A31" s="18" t="n"/>
    </row>
    <row r="32" ht="22" customHeight="1">
      <c r="A32" s="19" t="inlineStr">
        <is>
          <t>SUBTOTAL (materiais)</t>
        </is>
      </c>
      <c r="H32" s="20">
        <f>H7+H8+H9+H11+H13+H15+H16+H17+H18+H19+H20+H21+H23+H25+H26+H28+H29+H30</f>
        <v/>
      </c>
      <c r="I32" s="21" t="n"/>
    </row>
    <row r="33" ht="20" customHeight="1">
      <c r="A33" s="22" t="inlineStr">
        <is>
          <t>IVA (23%)</t>
        </is>
      </c>
      <c r="H33" s="23">
        <f>H32*0.23</f>
        <v/>
      </c>
      <c r="I33" s="24" t="n"/>
    </row>
    <row r="34" ht="26" customHeight="1">
      <c r="A34" s="25" t="inlineStr">
        <is>
          <t>TOTAL GERAL (c/ IVA)</t>
        </is>
      </c>
      <c r="H34" s="26">
        <f>H32+H33</f>
        <v/>
      </c>
      <c r="I34" s="27" t="n"/>
    </row>
    <row r="36" ht="16" customHeight="1">
      <c r="A36" s="28" t="inlineStr">
        <is>
          <t>NOTAS E OBSERVAÇÕES</t>
        </is>
      </c>
    </row>
    <row r="37" ht="16" customHeight="1">
      <c r="A37" s="29" t="inlineStr">
        <is>
          <t>• Preços indicativos (mar. 2026) — sujeitos a alteração conforme fornecedor e disponibilidade de stock.</t>
        </is>
      </c>
    </row>
    <row r="38" ht="16" customHeight="1">
      <c r="A38" s="29" t="inlineStr">
        <is>
          <t>• Preço unitário a AZUL = valor editável (input). Total calculado automaticamente.</t>
        </is>
      </c>
    </row>
    <row r="39" ht="16" customHeight="1">
      <c r="A39" s="29" t="inlineStr">
        <is>
          <t>• O relay module (Arduino) é alimentado a 5V DC por fonte separada — não incluída neste orçamento.</t>
        </is>
      </c>
    </row>
    <row r="40" ht="16" customHeight="1">
      <c r="A40" s="29" t="inlineStr">
        <is>
          <t>• Motor: preço indicativo para potência 0,37kW. Ajustar conforme motor real do tapete MPS1.</t>
        </is>
      </c>
    </row>
    <row r="41" ht="16" customHeight="1">
      <c r="A41" s="29" t="inlineStr">
        <is>
          <t>• Fornecedores sugeridos: ElectricalPT (pt.electrical.com) · Rexel PT · RS Components · Leroy Merlin PT.</t>
        </is>
      </c>
    </row>
  </sheetData>
  <mergeCells count="20">
    <mergeCell ref="A32:G32"/>
    <mergeCell ref="A41:I41"/>
    <mergeCell ref="A37:I37"/>
    <mergeCell ref="A27:I27"/>
    <mergeCell ref="A3:I3"/>
    <mergeCell ref="A12:I12"/>
    <mergeCell ref="A2:I2"/>
    <mergeCell ref="A14:I14"/>
    <mergeCell ref="A34:G34"/>
    <mergeCell ref="A22:I22"/>
    <mergeCell ref="A4:I4"/>
    <mergeCell ref="A38:I38"/>
    <mergeCell ref="A10:I10"/>
    <mergeCell ref="A40:I40"/>
    <mergeCell ref="A31:I31"/>
    <mergeCell ref="A39:I39"/>
    <mergeCell ref="A24:I24"/>
    <mergeCell ref="A36:I36"/>
    <mergeCell ref="A6:I6"/>
    <mergeCell ref="A33:G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2026-03-07T13:59:06Z</dcterms:created>
  <dcterms:modified xmlns:dcterms="http://purl.org/dc/terms/" xmlns:xsi="http://www.w3.org/2001/XMLSchema-instance" xsi:type="dcterms:W3CDTF">2026-03-07T13:59:06Z</dcterms:modified>
</cp:coreProperties>
</file>